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Desktop\Mookambika\Entri\Core\Project reg\"/>
    </mc:Choice>
  </mc:AlternateContent>
  <xr:revisionPtr revIDLastSave="0" documentId="13_ncr:1_{AF28FA39-1914-4B80-806F-33CADE995F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21" i="1" l="1"/>
  <c r="N12" i="1"/>
  <c r="N11" i="1"/>
  <c r="N7" i="1"/>
  <c r="N6" i="1"/>
  <c r="N5" i="1"/>
  <c r="N2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N27" i="1"/>
  <c r="N2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N22" i="1"/>
  <c r="N17" i="1"/>
  <c r="N1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</calcChain>
</file>

<file path=xl/sharedStrings.xml><?xml version="1.0" encoding="utf-8"?>
<sst xmlns="http://schemas.openxmlformats.org/spreadsheetml/2006/main" count="191" uniqueCount="128">
  <si>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</si>
  <si>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</si>
  <si>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</si>
  <si>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</si>
  <si>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</si>
  <si>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</si>
  <si>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</si>
  <si>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</si>
  <si>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</si>
  <si>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</si>
  <si>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</si>
  <si>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</si>
  <si>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</si>
  <si>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</si>
  <si>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</si>
  <si>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</si>
  <si>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</si>
  <si>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</si>
  <si>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</si>
  <si>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</si>
  <si>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</si>
  <si>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</si>
  <si>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</si>
  <si>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</si>
  <si>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</si>
  <si>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</si>
  <si>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</si>
  <si>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</si>
  <si>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</si>
  <si>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</si>
  <si>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</si>
  <si>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</si>
  <si>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</si>
  <si>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</si>
  <si>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</si>
  <si>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</si>
  <si>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</si>
  <si>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</si>
  <si>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</si>
  <si>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</si>
  <si>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</si>
  <si>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</si>
  <si>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</si>
  <si>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</si>
  <si>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</si>
  <si>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</si>
  <si>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</si>
  <si>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</si>
  <si>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</si>
  <si>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</si>
  <si>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</si>
  <si>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</si>
  <si>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</si>
  <si>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</si>
  <si>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</si>
  <si>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</si>
  <si>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</si>
  <si>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</si>
  <si>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</si>
  <si>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</si>
  <si>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</si>
  <si>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</si>
  <si>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</si>
  <si>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</si>
  <si>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</si>
  <si>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</si>
  <si>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</si>
  <si>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</si>
  <si>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</si>
  <si>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</si>
  <si>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</si>
  <si>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</si>
  <si>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</si>
  <si>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</si>
  <si>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</si>
  <si>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</si>
  <si>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</si>
  <si>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</si>
  <si>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</si>
  <si>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</si>
  <si>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</si>
  <si>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</si>
  <si>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</si>
  <si>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</si>
  <si>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</si>
  <si>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</si>
  <si>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</si>
  <si>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</si>
  <si>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</si>
  <si>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</si>
  <si>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</si>
  <si>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</si>
  <si>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</si>
  <si>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and Average</t>
  </si>
  <si>
    <t>Function</t>
  </si>
  <si>
    <t>Purpose</t>
  </si>
  <si>
    <t>Result</t>
  </si>
  <si>
    <t>SUM()</t>
  </si>
  <si>
    <t>Total price of all products</t>
  </si>
  <si>
    <t>Count total products</t>
  </si>
  <si>
    <t>AVERAGE()</t>
  </si>
  <si>
    <t>Average product price</t>
  </si>
  <si>
    <t>2. Minimum and Maximum Values</t>
  </si>
  <si>
    <t>MIN()</t>
  </si>
  <si>
    <t>Minimum price among all products</t>
  </si>
  <si>
    <t>MAX()</t>
  </si>
  <si>
    <t>Maximum price among all products</t>
  </si>
  <si>
    <t>IF()</t>
  </si>
  <si>
    <t>Classify products as High Price based on price value</t>
  </si>
  <si>
    <t>Classify products as Standard Price based on price value</t>
  </si>
  <si>
    <t>SUMIF()</t>
  </si>
  <si>
    <t>Total price of products in the Electronics category</t>
  </si>
  <si>
    <t>COUNTIF()</t>
  </si>
  <si>
    <t xml:space="preserve">Number of products with a price less than $100.  </t>
  </si>
  <si>
    <t>LEFT()</t>
  </si>
  <si>
    <t>Create Day column using LEFT</t>
  </si>
  <si>
    <t>RIGHT()</t>
  </si>
  <si>
    <t>Create Country Code column using RIGHT</t>
  </si>
  <si>
    <t>MID()</t>
  </si>
  <si>
    <t>Create Month column using MID</t>
  </si>
  <si>
    <t>Basic of Data Exploration_Task</t>
  </si>
  <si>
    <t>Price Range</t>
  </si>
  <si>
    <t>Day</t>
  </si>
  <si>
    <t>Country Code</t>
  </si>
  <si>
    <t>Month</t>
  </si>
  <si>
    <t>5. Text Formatting : LEFT, RIGHT, MID</t>
  </si>
  <si>
    <t xml:space="preserve">4.Conditional Functions : SUMIF and COUNTIF </t>
  </si>
  <si>
    <t xml:space="preserve">3. Logical Function : 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</si>
</sst>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9"/>
      <color rgb="FF000000"/>
      <name val="Arial"/>
      <family val="2"/>
      <scheme val="minor"/>
    </font>
    <font>
      <b/>
      <sz val="8"/>
      <color theme="1"/>
      <name val="Arial"/>
      <family val="2"/>
    </font>
    <font>
      <sz val="8"/>
      <color rgb="FF000000"/>
      <name val="Arial"/>
      <family val="2"/>
      <scheme val="minor"/>
    </font>
    <font>
      <sz val="8"/>
      <color theme="1"/>
      <name val="Arial"/>
      <family val="2"/>
    </font>
    <font>
      <b/>
      <sz val="8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0F7FA"/>
      </patternFill>
    </fill>
    <fill>
      <patternFill patternType="solid">
        <fgColor theme="8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5" fillId="3" borderId="0" xfId="0" applyFont="1" applyFill="1"/>
    <xf numFmtId="0" fontId="4" fillId="0" borderId="0" xfId="0" applyFont="1" applyAlignment="1">
      <alignment horizontal="left"/>
    </xf>
    <xf numFmtId="0" fontId="4" fillId="4" borderId="0" xfId="0" applyFont="1" applyFill="1"/>
    <xf numFmtId="3" fontId="4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4" fillId="5" borderId="1" xfId="0" applyFont="1" applyFill="1" applyBorder="1"/>
    <xf numFmtId="3" fontId="4" fillId="5" borderId="1" xfId="0" applyNumberFormat="1" applyFont="1" applyFill="1" applyBorder="1" applyAlignment="1">
      <alignment horizontal="left"/>
    </xf>
    <xf numFmtId="3" fontId="4" fillId="5" borderId="1" xfId="1" applyNumberFormat="1" applyFont="1" applyFill="1" applyBorder="1" applyAlignment="1">
      <alignment horizontal="left"/>
    </xf>
    <xf numFmtId="3" fontId="6" fillId="5" borderId="1" xfId="0" applyNumberFormat="1" applyFont="1" applyFill="1" applyBorder="1" applyAlignment="1">
      <alignment horizontal="left"/>
    </xf>
    <xf numFmtId="0" fontId="5" fillId="6" borderId="1" xfId="0" applyFont="1" applyFill="1" applyBorder="1"/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5" fillId="7" borderId="1" xfId="0" applyFont="1" applyFill="1" applyBorder="1"/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2" fillId="4" borderId="0" xfId="0" applyFont="1" applyFill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4396A-3DF8-4CCD-A9FB-B50A4E071DF1}" name="Table1" displayName="Table1" ref="A1:J35" totalsRowShown="0" headerRowDxfId="11" dataDxfId="10">
  <autoFilter ref="A1:J35" xr:uid="{7404396A-3DF8-4CCD-A9FB-B50A4E071DF1}"/>
  <tableColumns count="10">
    <tableColumn id="1" xr3:uid="{F8F56BBF-60C8-4440-8649-58F881B33429}" name="Product ID" dataDxfId="9"/>
    <tableColumn id="8" xr3:uid="{3785153D-3E8C-4B5F-A4C3-CD37DC2B0DA0}" name="Day" dataDxfId="8">
      <calculatedColumnFormula>LEFT(A2,2)</calculatedColumnFormula>
    </tableColumn>
    <tableColumn id="9" xr3:uid="{6E1B59D4-2D45-4A42-B3C4-FA0281BB043D}" name="Country Code" dataDxfId="7">
      <calculatedColumnFormula>RIGHT(A2,2)</calculatedColumnFormula>
    </tableColumn>
    <tableColumn id="12" xr3:uid="{BD3215D3-0148-4347-9D84-1DF7EB4EAE59}" name="Month" dataDxfId="6">
      <calculatedColumnFormula>MID(A2,4,3)</calculatedColumnFormula>
    </tableColumn>
    <tableColumn id="2" xr3:uid="{FBB66E62-0B94-4944-BC28-CEB4472A8AAA}" name="Product Name" dataDxfId="5"/>
    <tableColumn id="3" xr3:uid="{47B16315-B36C-491C-882F-8BA1BDEEE8E3}" name="Brand Name" dataDxfId="4"/>
    <tableColumn id="4" xr3:uid="{414B9DBB-920A-4C3D-A8BA-214174B4CE80}" name="Price ($)" dataDxfId="3"/>
    <tableColumn id="5" xr3:uid="{29887913-9C50-4DA9-A7CD-CCC1C1EAFE7F}" name="Quantity" dataDxfId="2"/>
    <tableColumn id="6" xr3:uid="{EC0B616C-E5F7-43C9-B556-7D2D9E2EF702}" name="Category" dataDxfId="1"/>
    <tableColumn id="7" xr3:uid="{5694F36B-CC43-4236-829F-2157E9B374EA}" name="Price Range" dataDxfId="0">
      <calculatedColumnFormula>IF(G2&gt;=500,"High Price", "Standard Price")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5"/>
  <sheetViews>
    <sheetView showGridLines="0" tabSelected="1" zoomScale="80" zoomScaleNormal="80" workbookViewId="0">
      <selection activeCell="L32" sqref="L32"/>
    </sheetView>
  </sheetViews>
  <sheetFormatPr defaultColWidth="12.5703125" defaultRowHeight="11.25" x14ac:dyDescent="0.2"/>
  <cols>
    <col min="1" max="1" width="10" style="2" customWidth="1"/>
    <col min="2" max="2" width="9" style="2" bestFit="1" customWidth="1"/>
    <col min="3" max="3" width="16.85546875" style="2" bestFit="1" customWidth="1"/>
    <col min="4" max="4" width="11" style="2" bestFit="1" customWidth="1"/>
    <col min="5" max="5" width="17.28515625" style="2" bestFit="1" customWidth="1"/>
    <col min="6" max="6" width="15.7109375" style="2" bestFit="1" customWidth="1"/>
    <col min="7" max="8" width="12.85546875" style="2" bestFit="1" customWidth="1"/>
    <col min="9" max="9" width="13.28515625" style="2" bestFit="1" customWidth="1"/>
    <col min="10" max="10" width="13.5703125" style="5" bestFit="1" customWidth="1"/>
    <col min="11" max="11" width="12.5703125" style="2"/>
    <col min="12" max="12" width="21.5703125" style="6" customWidth="1"/>
    <col min="13" max="13" width="41.7109375" style="6" bestFit="1" customWidth="1"/>
    <col min="14" max="14" width="12.42578125" style="6" customWidth="1"/>
    <col min="15" max="16384" width="12.5703125" style="2"/>
  </cols>
  <sheetData>
    <row r="1" spans="1:14" ht="12" x14ac:dyDescent="0.2">
      <c r="A1" s="1" t="s">
        <v>0</v>
      </c>
      <c r="B1" s="1" t="s">
        <v>122</v>
      </c>
      <c r="C1" s="1" t="s">
        <v>123</v>
      </c>
      <c r="D1" s="1" t="s">
        <v>124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21" t="s">
        <v>121</v>
      </c>
      <c r="L1" s="23" t="s">
        <v>120</v>
      </c>
    </row>
    <row r="2" spans="1:14" x14ac:dyDescent="0.2">
      <c r="A2" s="3" t="s">
        <v>6</v>
      </c>
      <c r="B2" s="3" t="str">
        <f t="shared" ref="B2:B35" si="0">LEFT(A2,2)</f>
        <v>28</v>
      </c>
      <c r="C2" s="3" t="str">
        <f t="shared" ref="C2:C35" si="1">RIGHT(A2,2)</f>
        <v>US</v>
      </c>
      <c r="D2" s="3" t="str">
        <f t="shared" ref="D2:D35" si="2">MID(A2,4,3)</f>
        <v>JAN</v>
      </c>
      <c r="E2" s="3" t="s">
        <v>7</v>
      </c>
      <c r="F2" s="3" t="s">
        <v>8</v>
      </c>
      <c r="G2" s="3">
        <v>1000</v>
      </c>
      <c r="H2" s="3">
        <v>30</v>
      </c>
      <c r="I2" s="3" t="s">
        <v>9</v>
      </c>
      <c r="J2" s="22" t="str">
        <f t="shared" ref="J2:J35" si="3">IF(G2&gt;=500,"High Price", "Standard Price")</f>
        <v>High Price</v>
      </c>
    </row>
    <row r="3" spans="1:14" x14ac:dyDescent="0.2">
      <c r="A3" s="4" t="s">
        <v>10</v>
      </c>
      <c r="B3" s="4" t="str">
        <f t="shared" si="0"/>
        <v>15</v>
      </c>
      <c r="C3" s="4" t="str">
        <f t="shared" si="1"/>
        <v>US</v>
      </c>
      <c r="D3" s="4" t="str">
        <f t="shared" si="2"/>
        <v>FEB</v>
      </c>
      <c r="E3" s="4" t="s">
        <v>11</v>
      </c>
      <c r="F3" s="4" t="s">
        <v>12</v>
      </c>
      <c r="G3" s="4">
        <v>80</v>
      </c>
      <c r="H3" s="4">
        <v>15</v>
      </c>
      <c r="I3" s="4" t="s">
        <v>13</v>
      </c>
      <c r="J3" s="22" t="str">
        <f t="shared" si="3"/>
        <v>Standard Price</v>
      </c>
      <c r="L3" s="10" t="s">
        <v>93</v>
      </c>
      <c r="M3" s="10"/>
      <c r="N3" s="9"/>
    </row>
    <row r="4" spans="1:14" x14ac:dyDescent="0.2">
      <c r="A4" s="3" t="s">
        <v>14</v>
      </c>
      <c r="B4" s="3" t="str">
        <f t="shared" si="0"/>
        <v>03</v>
      </c>
      <c r="C4" s="3" t="str">
        <f t="shared" si="1"/>
        <v>US</v>
      </c>
      <c r="D4" s="3" t="str">
        <f t="shared" si="2"/>
        <v>MAR</v>
      </c>
      <c r="E4" s="3" t="s">
        <v>15</v>
      </c>
      <c r="F4" s="3" t="s">
        <v>16</v>
      </c>
      <c r="G4" s="3">
        <v>130</v>
      </c>
      <c r="H4" s="3">
        <v>40</v>
      </c>
      <c r="I4" s="3" t="s">
        <v>17</v>
      </c>
      <c r="J4" s="22" t="str">
        <f t="shared" si="3"/>
        <v>Standard Price</v>
      </c>
      <c r="L4" s="11" t="s">
        <v>94</v>
      </c>
      <c r="M4" s="11" t="s">
        <v>95</v>
      </c>
      <c r="N4" s="11" t="s">
        <v>96</v>
      </c>
    </row>
    <row r="5" spans="1:14" x14ac:dyDescent="0.2">
      <c r="A5" s="4" t="s">
        <v>18</v>
      </c>
      <c r="B5" s="4" t="str">
        <f t="shared" si="0"/>
        <v>11</v>
      </c>
      <c r="C5" s="4" t="str">
        <f t="shared" si="1"/>
        <v>US</v>
      </c>
      <c r="D5" s="4" t="str">
        <f t="shared" si="2"/>
        <v>APR</v>
      </c>
      <c r="E5" s="4" t="s">
        <v>19</v>
      </c>
      <c r="F5" s="4" t="s">
        <v>20</v>
      </c>
      <c r="G5" s="4">
        <v>900</v>
      </c>
      <c r="H5" s="4">
        <v>25</v>
      </c>
      <c r="I5" s="4" t="s">
        <v>9</v>
      </c>
      <c r="J5" s="22" t="str">
        <f t="shared" si="3"/>
        <v>High Price</v>
      </c>
      <c r="L5" s="12" t="s">
        <v>97</v>
      </c>
      <c r="M5" s="12" t="s">
        <v>98</v>
      </c>
      <c r="N5" s="13">
        <f>SUM(G2:G35)</f>
        <v>10100</v>
      </c>
    </row>
    <row r="6" spans="1:14" x14ac:dyDescent="0.2">
      <c r="A6" s="3" t="s">
        <v>21</v>
      </c>
      <c r="B6" s="3" t="str">
        <f t="shared" si="0"/>
        <v>22</v>
      </c>
      <c r="C6" s="3" t="str">
        <f t="shared" si="1"/>
        <v>US</v>
      </c>
      <c r="D6" s="3" t="str">
        <f t="shared" si="2"/>
        <v>MAY</v>
      </c>
      <c r="E6" s="3" t="s">
        <v>22</v>
      </c>
      <c r="F6" s="3" t="s">
        <v>23</v>
      </c>
      <c r="G6" s="3">
        <v>70</v>
      </c>
      <c r="H6" s="3">
        <v>20</v>
      </c>
      <c r="I6" s="3" t="s">
        <v>24</v>
      </c>
      <c r="J6" s="22" t="str">
        <f t="shared" si="3"/>
        <v>Standard Price</v>
      </c>
      <c r="L6" s="11" t="s">
        <v>93</v>
      </c>
      <c r="M6" s="12" t="s">
        <v>99</v>
      </c>
      <c r="N6" s="13">
        <f>COUNTA(E2:E35)</f>
        <v>34</v>
      </c>
    </row>
    <row r="7" spans="1:14" x14ac:dyDescent="0.2">
      <c r="A7" s="4" t="s">
        <v>25</v>
      </c>
      <c r="B7" s="4" t="str">
        <f t="shared" si="0"/>
        <v>07</v>
      </c>
      <c r="C7" s="4" t="str">
        <f t="shared" si="1"/>
        <v>UK</v>
      </c>
      <c r="D7" s="4" t="str">
        <f t="shared" si="2"/>
        <v>JUN</v>
      </c>
      <c r="E7" s="4" t="s">
        <v>26</v>
      </c>
      <c r="F7" s="4" t="s">
        <v>27</v>
      </c>
      <c r="G7" s="4">
        <v>200</v>
      </c>
      <c r="H7" s="4">
        <v>45</v>
      </c>
      <c r="I7" s="4" t="s">
        <v>9</v>
      </c>
      <c r="J7" s="22" t="str">
        <f t="shared" si="3"/>
        <v>Standard Price</v>
      </c>
      <c r="L7" s="12" t="s">
        <v>100</v>
      </c>
      <c r="M7" s="12" t="s">
        <v>101</v>
      </c>
      <c r="N7" s="14">
        <f>AVERAGE(G2:G35)</f>
        <v>297.05882352941177</v>
      </c>
    </row>
    <row r="8" spans="1:14" x14ac:dyDescent="0.2">
      <c r="A8" s="3" t="s">
        <v>28</v>
      </c>
      <c r="B8" s="3" t="str">
        <f t="shared" si="0"/>
        <v>19</v>
      </c>
      <c r="C8" s="3" t="str">
        <f t="shared" si="1"/>
        <v>UK</v>
      </c>
      <c r="D8" s="3" t="str">
        <f t="shared" si="2"/>
        <v>JUL</v>
      </c>
      <c r="E8" s="3" t="s">
        <v>29</v>
      </c>
      <c r="F8" s="3" t="s">
        <v>30</v>
      </c>
      <c r="G8" s="3">
        <v>30</v>
      </c>
      <c r="H8" s="3">
        <v>5</v>
      </c>
      <c r="I8" s="3" t="s">
        <v>13</v>
      </c>
      <c r="J8" s="22" t="str">
        <f t="shared" si="3"/>
        <v>Standard Price</v>
      </c>
      <c r="N8" s="7"/>
    </row>
    <row r="9" spans="1:14" x14ac:dyDescent="0.2">
      <c r="A9" s="4" t="s">
        <v>31</v>
      </c>
      <c r="B9" s="4" t="str">
        <f t="shared" si="0"/>
        <v>23</v>
      </c>
      <c r="C9" s="4" t="str">
        <f t="shared" si="1"/>
        <v>UK</v>
      </c>
      <c r="D9" s="4" t="str">
        <f t="shared" si="2"/>
        <v>AUG</v>
      </c>
      <c r="E9" s="4" t="s">
        <v>32</v>
      </c>
      <c r="F9" s="4" t="s">
        <v>33</v>
      </c>
      <c r="G9" s="4">
        <v>90</v>
      </c>
      <c r="H9" s="4">
        <v>35</v>
      </c>
      <c r="I9" s="4" t="s">
        <v>17</v>
      </c>
      <c r="J9" s="22" t="str">
        <f t="shared" si="3"/>
        <v>Standard Price</v>
      </c>
      <c r="L9" s="11" t="s">
        <v>102</v>
      </c>
      <c r="M9" s="12"/>
      <c r="N9" s="13"/>
    </row>
    <row r="10" spans="1:14" x14ac:dyDescent="0.2">
      <c r="A10" s="3" t="s">
        <v>34</v>
      </c>
      <c r="B10" s="3" t="str">
        <f t="shared" si="0"/>
        <v>05</v>
      </c>
      <c r="C10" s="3" t="str">
        <f t="shared" si="1"/>
        <v>UK</v>
      </c>
      <c r="D10" s="3" t="str">
        <f t="shared" si="2"/>
        <v>SEP</v>
      </c>
      <c r="E10" s="3" t="s">
        <v>35</v>
      </c>
      <c r="F10" s="3" t="s">
        <v>36</v>
      </c>
      <c r="G10" s="3">
        <v>500</v>
      </c>
      <c r="H10" s="3">
        <v>50</v>
      </c>
      <c r="I10" s="3" t="s">
        <v>9</v>
      </c>
      <c r="J10" s="22" t="str">
        <f t="shared" si="3"/>
        <v>High Price</v>
      </c>
      <c r="L10" s="11" t="s">
        <v>94</v>
      </c>
      <c r="M10" s="11" t="s">
        <v>95</v>
      </c>
      <c r="N10" s="15" t="s">
        <v>96</v>
      </c>
    </row>
    <row r="11" spans="1:14" x14ac:dyDescent="0.2">
      <c r="A11" s="4" t="s">
        <v>37</v>
      </c>
      <c r="B11" s="4" t="str">
        <f t="shared" si="0"/>
        <v>14</v>
      </c>
      <c r="C11" s="4" t="str">
        <f t="shared" si="1"/>
        <v>UK</v>
      </c>
      <c r="D11" s="4" t="str">
        <f t="shared" si="2"/>
        <v>OCT</v>
      </c>
      <c r="E11" s="4" t="s">
        <v>38</v>
      </c>
      <c r="F11" s="4" t="s">
        <v>39</v>
      </c>
      <c r="G11" s="4">
        <v>130</v>
      </c>
      <c r="H11" s="4">
        <v>10</v>
      </c>
      <c r="I11" s="4" t="s">
        <v>24</v>
      </c>
      <c r="J11" s="22" t="str">
        <f t="shared" si="3"/>
        <v>Standard Price</v>
      </c>
      <c r="L11" s="12" t="s">
        <v>103</v>
      </c>
      <c r="M11" s="12" t="s">
        <v>104</v>
      </c>
      <c r="N11" s="14">
        <f>MIN(G2:G35)</f>
        <v>30</v>
      </c>
    </row>
    <row r="12" spans="1:14" x14ac:dyDescent="0.2">
      <c r="A12" s="3" t="s">
        <v>40</v>
      </c>
      <c r="B12" s="3" t="str">
        <f t="shared" si="0"/>
        <v>17</v>
      </c>
      <c r="C12" s="3" t="str">
        <f t="shared" si="1"/>
        <v>IN</v>
      </c>
      <c r="D12" s="3" t="str">
        <f t="shared" si="2"/>
        <v>JUN</v>
      </c>
      <c r="E12" s="3" t="s">
        <v>7</v>
      </c>
      <c r="F12" s="3" t="s">
        <v>41</v>
      </c>
      <c r="G12" s="3">
        <v>950</v>
      </c>
      <c r="H12" s="3">
        <v>25</v>
      </c>
      <c r="I12" s="3" t="s">
        <v>9</v>
      </c>
      <c r="J12" s="22" t="str">
        <f t="shared" si="3"/>
        <v>High Price</v>
      </c>
      <c r="L12" s="12" t="s">
        <v>105</v>
      </c>
      <c r="M12" s="12" t="s">
        <v>106</v>
      </c>
      <c r="N12" s="14">
        <f>MAX(G2:G35)</f>
        <v>1000</v>
      </c>
    </row>
    <row r="13" spans="1:14" x14ac:dyDescent="0.2">
      <c r="A13" s="4" t="s">
        <v>42</v>
      </c>
      <c r="B13" s="4" t="str">
        <f t="shared" si="0"/>
        <v>25</v>
      </c>
      <c r="C13" s="4" t="str">
        <f t="shared" si="1"/>
        <v>AU</v>
      </c>
      <c r="D13" s="4" t="str">
        <f t="shared" si="2"/>
        <v>NOV</v>
      </c>
      <c r="E13" s="4" t="s">
        <v>11</v>
      </c>
      <c r="F13" s="4" t="s">
        <v>30</v>
      </c>
      <c r="G13" s="4">
        <v>90</v>
      </c>
      <c r="H13" s="4">
        <v>40</v>
      </c>
      <c r="I13" s="4" t="s">
        <v>13</v>
      </c>
      <c r="J13" s="22" t="str">
        <f t="shared" si="3"/>
        <v>Standard Price</v>
      </c>
      <c r="N13" s="7"/>
    </row>
    <row r="14" spans="1:14" x14ac:dyDescent="0.2">
      <c r="A14" s="3" t="s">
        <v>43</v>
      </c>
      <c r="B14" s="3" t="str">
        <f t="shared" si="0"/>
        <v>08</v>
      </c>
      <c r="C14" s="3" t="str">
        <f t="shared" si="1"/>
        <v>DE</v>
      </c>
      <c r="D14" s="3" t="str">
        <f t="shared" si="2"/>
        <v>DEC</v>
      </c>
      <c r="E14" s="3" t="s">
        <v>15</v>
      </c>
      <c r="F14" s="3" t="s">
        <v>44</v>
      </c>
      <c r="G14" s="3">
        <v>120</v>
      </c>
      <c r="H14" s="3">
        <v>35</v>
      </c>
      <c r="I14" s="3" t="s">
        <v>17</v>
      </c>
      <c r="J14" s="22" t="str">
        <f t="shared" si="3"/>
        <v>Standard Price</v>
      </c>
      <c r="L14" s="11" t="s">
        <v>127</v>
      </c>
      <c r="M14" s="12"/>
      <c r="N14" s="13"/>
    </row>
    <row r="15" spans="1:14" x14ac:dyDescent="0.2">
      <c r="A15" s="4" t="s">
        <v>45</v>
      </c>
      <c r="B15" s="4" t="str">
        <f t="shared" si="0"/>
        <v>18</v>
      </c>
      <c r="C15" s="4" t="str">
        <f t="shared" si="1"/>
        <v>CA</v>
      </c>
      <c r="D15" s="4" t="str">
        <f t="shared" si="2"/>
        <v>FEB</v>
      </c>
      <c r="E15" s="4" t="s">
        <v>46</v>
      </c>
      <c r="F15" s="4" t="s">
        <v>47</v>
      </c>
      <c r="G15" s="4">
        <v>150</v>
      </c>
      <c r="H15" s="4">
        <v>15</v>
      </c>
      <c r="I15" s="4" t="s">
        <v>9</v>
      </c>
      <c r="J15" s="22" t="str">
        <f t="shared" si="3"/>
        <v>Standard Price</v>
      </c>
      <c r="L15" s="11" t="s">
        <v>94</v>
      </c>
      <c r="M15" s="11" t="s">
        <v>95</v>
      </c>
      <c r="N15" s="15" t="s">
        <v>96</v>
      </c>
    </row>
    <row r="16" spans="1:14" x14ac:dyDescent="0.2">
      <c r="A16" s="3" t="s">
        <v>48</v>
      </c>
      <c r="B16" s="3" t="str">
        <f t="shared" si="0"/>
        <v>16</v>
      </c>
      <c r="C16" s="3" t="str">
        <f t="shared" si="1"/>
        <v>ES</v>
      </c>
      <c r="D16" s="3" t="str">
        <f t="shared" si="2"/>
        <v>APR</v>
      </c>
      <c r="E16" s="3" t="s">
        <v>26</v>
      </c>
      <c r="F16" s="3" t="s">
        <v>49</v>
      </c>
      <c r="G16" s="3">
        <v>250</v>
      </c>
      <c r="H16" s="3">
        <v>20</v>
      </c>
      <c r="I16" s="3" t="s">
        <v>9</v>
      </c>
      <c r="J16" s="22" t="str">
        <f t="shared" si="3"/>
        <v>Standard Price</v>
      </c>
      <c r="L16" s="12" t="s">
        <v>107</v>
      </c>
      <c r="M16" s="12" t="s">
        <v>108</v>
      </c>
      <c r="N16" s="16" t="str">
        <f>IF(G2&gt;=500,"High Price", "Standard Price")</f>
        <v>High Price</v>
      </c>
    </row>
    <row r="17" spans="1:14" x14ac:dyDescent="0.2">
      <c r="A17" s="4" t="s">
        <v>50</v>
      </c>
      <c r="B17" s="4" t="str">
        <f t="shared" si="0"/>
        <v>21</v>
      </c>
      <c r="C17" s="4" t="str">
        <f t="shared" si="1"/>
        <v>CA</v>
      </c>
      <c r="D17" s="4" t="str">
        <f t="shared" si="2"/>
        <v>AUG</v>
      </c>
      <c r="E17" s="4" t="s">
        <v>51</v>
      </c>
      <c r="F17" s="4" t="s">
        <v>52</v>
      </c>
      <c r="G17" s="4">
        <v>50</v>
      </c>
      <c r="H17" s="4">
        <v>35</v>
      </c>
      <c r="I17" s="4" t="s">
        <v>53</v>
      </c>
      <c r="J17" s="22" t="str">
        <f t="shared" si="3"/>
        <v>Standard Price</v>
      </c>
      <c r="L17" s="12" t="s">
        <v>107</v>
      </c>
      <c r="M17" s="12" t="s">
        <v>109</v>
      </c>
      <c r="N17" s="16" t="str">
        <f>IF(G1&lt;=500,"High Price", "Standard Price")</f>
        <v>Standard Price</v>
      </c>
    </row>
    <row r="18" spans="1:14" x14ac:dyDescent="0.2">
      <c r="A18" s="3" t="s">
        <v>54</v>
      </c>
      <c r="B18" s="3" t="str">
        <f t="shared" si="0"/>
        <v>20</v>
      </c>
      <c r="C18" s="3" t="str">
        <f t="shared" si="1"/>
        <v>CN</v>
      </c>
      <c r="D18" s="3" t="str">
        <f t="shared" si="2"/>
        <v>AUG</v>
      </c>
      <c r="E18" s="3" t="s">
        <v>46</v>
      </c>
      <c r="F18" s="3" t="s">
        <v>55</v>
      </c>
      <c r="G18" s="3">
        <v>160</v>
      </c>
      <c r="H18" s="3">
        <v>15</v>
      </c>
      <c r="I18" s="3" t="s">
        <v>9</v>
      </c>
      <c r="J18" s="22" t="str">
        <f t="shared" si="3"/>
        <v>Standard Price</v>
      </c>
      <c r="N18" s="7"/>
    </row>
    <row r="19" spans="1:14" x14ac:dyDescent="0.2">
      <c r="A19" s="4" t="s">
        <v>56</v>
      </c>
      <c r="B19" s="4" t="str">
        <f t="shared" si="0"/>
        <v>27</v>
      </c>
      <c r="C19" s="4" t="str">
        <f t="shared" si="1"/>
        <v>IT</v>
      </c>
      <c r="D19" s="4" t="str">
        <f t="shared" si="2"/>
        <v>JAN</v>
      </c>
      <c r="E19" s="4" t="s">
        <v>7</v>
      </c>
      <c r="F19" s="4" t="s">
        <v>57</v>
      </c>
      <c r="G19" s="4">
        <v>980</v>
      </c>
      <c r="H19" s="4">
        <v>10</v>
      </c>
      <c r="I19" s="4" t="s">
        <v>9</v>
      </c>
      <c r="J19" s="22" t="str">
        <f t="shared" si="3"/>
        <v>High Price</v>
      </c>
      <c r="L19" s="11" t="s">
        <v>126</v>
      </c>
      <c r="M19" s="12"/>
      <c r="N19" s="13"/>
    </row>
    <row r="20" spans="1:14" x14ac:dyDescent="0.2">
      <c r="A20" s="3" t="s">
        <v>58</v>
      </c>
      <c r="B20" s="3" t="str">
        <f t="shared" si="0"/>
        <v>01</v>
      </c>
      <c r="C20" s="3" t="str">
        <f t="shared" si="1"/>
        <v>UK</v>
      </c>
      <c r="D20" s="3" t="str">
        <f t="shared" si="2"/>
        <v>MAR</v>
      </c>
      <c r="E20" s="3" t="s">
        <v>59</v>
      </c>
      <c r="F20" s="3" t="s">
        <v>60</v>
      </c>
      <c r="G20" s="3">
        <v>150</v>
      </c>
      <c r="H20" s="3">
        <v>15</v>
      </c>
      <c r="I20" s="3" t="s">
        <v>13</v>
      </c>
      <c r="J20" s="22" t="str">
        <f t="shared" si="3"/>
        <v>Standard Price</v>
      </c>
      <c r="L20" s="11" t="s">
        <v>94</v>
      </c>
      <c r="M20" s="11" t="s">
        <v>95</v>
      </c>
      <c r="N20" s="15" t="s">
        <v>96</v>
      </c>
    </row>
    <row r="21" spans="1:14" x14ac:dyDescent="0.2">
      <c r="A21" s="4" t="s">
        <v>61</v>
      </c>
      <c r="B21" s="4" t="str">
        <f t="shared" si="0"/>
        <v>14</v>
      </c>
      <c r="C21" s="4" t="str">
        <f t="shared" si="1"/>
        <v>US</v>
      </c>
      <c r="D21" s="4" t="str">
        <f t="shared" si="2"/>
        <v>AUG</v>
      </c>
      <c r="E21" s="4" t="s">
        <v>62</v>
      </c>
      <c r="F21" s="4" t="s">
        <v>63</v>
      </c>
      <c r="G21" s="4">
        <v>200</v>
      </c>
      <c r="H21" s="4">
        <v>10</v>
      </c>
      <c r="I21" s="4" t="s">
        <v>24</v>
      </c>
      <c r="J21" s="22" t="str">
        <f t="shared" si="3"/>
        <v>Standard Price</v>
      </c>
      <c r="L21" s="12" t="s">
        <v>110</v>
      </c>
      <c r="M21" s="17" t="s">
        <v>111</v>
      </c>
      <c r="N21" s="13">
        <f>SUMIF(I2:I35,"Electronics",G2:G35)</f>
        <v>8050</v>
      </c>
    </row>
    <row r="22" spans="1:14" x14ac:dyDescent="0.2">
      <c r="A22" s="3" t="s">
        <v>64</v>
      </c>
      <c r="B22" s="3" t="str">
        <f t="shared" si="0"/>
        <v>14</v>
      </c>
      <c r="C22" s="3" t="str">
        <f t="shared" si="1"/>
        <v>RU</v>
      </c>
      <c r="D22" s="3" t="str">
        <f t="shared" si="2"/>
        <v>MAY</v>
      </c>
      <c r="E22" s="3" t="s">
        <v>65</v>
      </c>
      <c r="F22" s="3" t="s">
        <v>66</v>
      </c>
      <c r="G22" s="3">
        <v>700</v>
      </c>
      <c r="H22" s="3">
        <v>50</v>
      </c>
      <c r="I22" s="3" t="s">
        <v>9</v>
      </c>
      <c r="J22" s="22" t="str">
        <f t="shared" si="3"/>
        <v>High Price</v>
      </c>
      <c r="L22" s="12" t="s">
        <v>112</v>
      </c>
      <c r="M22" s="17" t="s">
        <v>113</v>
      </c>
      <c r="N22" s="13">
        <f>COUNTIF(Table1[Price ($)],"&lt;100")</f>
        <v>11</v>
      </c>
    </row>
    <row r="23" spans="1:14" x14ac:dyDescent="0.2">
      <c r="A23" s="4" t="s">
        <v>67</v>
      </c>
      <c r="B23" s="4" t="str">
        <f t="shared" si="0"/>
        <v>09</v>
      </c>
      <c r="C23" s="4" t="str">
        <f t="shared" si="1"/>
        <v>CA</v>
      </c>
      <c r="D23" s="4" t="str">
        <f t="shared" si="2"/>
        <v>JAN</v>
      </c>
      <c r="E23" s="4" t="s">
        <v>68</v>
      </c>
      <c r="F23" s="4" t="s">
        <v>69</v>
      </c>
      <c r="G23" s="4">
        <v>80</v>
      </c>
      <c r="H23" s="4">
        <v>20</v>
      </c>
      <c r="I23" s="4" t="s">
        <v>17</v>
      </c>
      <c r="J23" s="22" t="str">
        <f t="shared" si="3"/>
        <v>Standard Price</v>
      </c>
      <c r="N23" s="8"/>
    </row>
    <row r="24" spans="1:14" x14ac:dyDescent="0.2">
      <c r="A24" s="3" t="s">
        <v>70</v>
      </c>
      <c r="B24" s="3" t="str">
        <f t="shared" si="0"/>
        <v>19</v>
      </c>
      <c r="C24" s="3" t="str">
        <f t="shared" si="1"/>
        <v>BR</v>
      </c>
      <c r="D24" s="3" t="str">
        <f t="shared" si="2"/>
        <v>JUL</v>
      </c>
      <c r="E24" s="3" t="s">
        <v>71</v>
      </c>
      <c r="F24" s="3" t="s">
        <v>72</v>
      </c>
      <c r="G24" s="3">
        <v>150</v>
      </c>
      <c r="H24" s="3">
        <v>30</v>
      </c>
      <c r="I24" s="3" t="s">
        <v>9</v>
      </c>
      <c r="J24" s="22" t="str">
        <f t="shared" si="3"/>
        <v>Standard Price</v>
      </c>
      <c r="L24" s="11" t="s">
        <v>125</v>
      </c>
      <c r="M24" s="12"/>
      <c r="N24" s="18"/>
    </row>
    <row r="25" spans="1:14" x14ac:dyDescent="0.2">
      <c r="A25" s="4" t="s">
        <v>50</v>
      </c>
      <c r="B25" s="4" t="str">
        <f t="shared" si="0"/>
        <v>21</v>
      </c>
      <c r="C25" s="4" t="str">
        <f t="shared" si="1"/>
        <v>CA</v>
      </c>
      <c r="D25" s="4" t="str">
        <f t="shared" si="2"/>
        <v>AUG</v>
      </c>
      <c r="E25" s="4" t="s">
        <v>51</v>
      </c>
      <c r="F25" s="4" t="s">
        <v>52</v>
      </c>
      <c r="G25" s="4">
        <v>50</v>
      </c>
      <c r="H25" s="4">
        <v>35</v>
      </c>
      <c r="I25" s="4" t="s">
        <v>53</v>
      </c>
      <c r="J25" s="22" t="str">
        <f t="shared" si="3"/>
        <v>Standard Price</v>
      </c>
      <c r="L25" s="11" t="s">
        <v>94</v>
      </c>
      <c r="M25" s="11" t="s">
        <v>95</v>
      </c>
      <c r="N25" s="19" t="s">
        <v>96</v>
      </c>
    </row>
    <row r="26" spans="1:14" x14ac:dyDescent="0.2">
      <c r="A26" s="3" t="s">
        <v>73</v>
      </c>
      <c r="B26" s="3" t="str">
        <f t="shared" si="0"/>
        <v>29</v>
      </c>
      <c r="C26" s="3" t="str">
        <f t="shared" si="1"/>
        <v>CA</v>
      </c>
      <c r="D26" s="3" t="str">
        <f t="shared" si="2"/>
        <v>SEP</v>
      </c>
      <c r="E26" s="3" t="s">
        <v>19</v>
      </c>
      <c r="F26" s="3" t="s">
        <v>74</v>
      </c>
      <c r="G26" s="3">
        <v>800</v>
      </c>
      <c r="H26" s="3">
        <v>45</v>
      </c>
      <c r="I26" s="3" t="s">
        <v>9</v>
      </c>
      <c r="J26" s="22" t="str">
        <f t="shared" si="3"/>
        <v>High Price</v>
      </c>
      <c r="L26" s="12" t="s">
        <v>114</v>
      </c>
      <c r="M26" s="12" t="s">
        <v>115</v>
      </c>
      <c r="N26" s="20" t="str">
        <f>LEFT(A2,2)</f>
        <v>28</v>
      </c>
    </row>
    <row r="27" spans="1:14" x14ac:dyDescent="0.2">
      <c r="A27" s="4" t="s">
        <v>75</v>
      </c>
      <c r="B27" s="4" t="str">
        <f t="shared" si="0"/>
        <v>03</v>
      </c>
      <c r="C27" s="4" t="str">
        <f t="shared" si="1"/>
        <v>CA</v>
      </c>
      <c r="D27" s="4" t="str">
        <f t="shared" si="2"/>
        <v>JUN</v>
      </c>
      <c r="E27" s="4" t="s">
        <v>59</v>
      </c>
      <c r="F27" s="4" t="s">
        <v>76</v>
      </c>
      <c r="G27" s="4">
        <v>130</v>
      </c>
      <c r="H27" s="4">
        <v>25</v>
      </c>
      <c r="I27" s="4" t="s">
        <v>13</v>
      </c>
      <c r="J27" s="22" t="str">
        <f t="shared" si="3"/>
        <v>Standard Price</v>
      </c>
      <c r="L27" s="12" t="s">
        <v>116</v>
      </c>
      <c r="M27" s="12" t="s">
        <v>117</v>
      </c>
      <c r="N27" s="20" t="str">
        <f>RIGHT(A3,2)</f>
        <v>US</v>
      </c>
    </row>
    <row r="28" spans="1:14" x14ac:dyDescent="0.2">
      <c r="A28" s="3" t="s">
        <v>77</v>
      </c>
      <c r="B28" s="3" t="str">
        <f t="shared" si="0"/>
        <v>11</v>
      </c>
      <c r="C28" s="3" t="str">
        <f t="shared" si="1"/>
        <v>CA</v>
      </c>
      <c r="D28" s="3" t="str">
        <f t="shared" si="2"/>
        <v>JUL</v>
      </c>
      <c r="E28" s="3" t="s">
        <v>32</v>
      </c>
      <c r="F28" s="3" t="s">
        <v>78</v>
      </c>
      <c r="G28" s="3">
        <v>400</v>
      </c>
      <c r="H28" s="3">
        <v>40</v>
      </c>
      <c r="I28" s="3" t="s">
        <v>17</v>
      </c>
      <c r="J28" s="22" t="str">
        <f t="shared" si="3"/>
        <v>Standard Price</v>
      </c>
      <c r="L28" s="12" t="s">
        <v>118</v>
      </c>
      <c r="M28" s="12" t="s">
        <v>119</v>
      </c>
      <c r="N28" s="20" t="str">
        <f>MID(A2,4,3)</f>
        <v>JAN</v>
      </c>
    </row>
    <row r="29" spans="1:14" x14ac:dyDescent="0.2">
      <c r="A29" s="4" t="s">
        <v>48</v>
      </c>
      <c r="B29" s="4" t="str">
        <f t="shared" si="0"/>
        <v>16</v>
      </c>
      <c r="C29" s="4" t="str">
        <f t="shared" si="1"/>
        <v>ES</v>
      </c>
      <c r="D29" s="4" t="str">
        <f t="shared" si="2"/>
        <v>APR</v>
      </c>
      <c r="E29" s="4" t="s">
        <v>26</v>
      </c>
      <c r="F29" s="4" t="s">
        <v>49</v>
      </c>
      <c r="G29" s="4">
        <v>230</v>
      </c>
      <c r="H29" s="4">
        <v>20</v>
      </c>
      <c r="I29" s="4" t="s">
        <v>9</v>
      </c>
      <c r="J29" s="22" t="str">
        <f t="shared" si="3"/>
        <v>Standard Price</v>
      </c>
    </row>
    <row r="30" spans="1:14" x14ac:dyDescent="0.2">
      <c r="A30" s="3" t="s">
        <v>79</v>
      </c>
      <c r="B30" s="3" t="str">
        <f t="shared" si="0"/>
        <v>07</v>
      </c>
      <c r="C30" s="3" t="str">
        <f t="shared" si="1"/>
        <v>CA</v>
      </c>
      <c r="D30" s="3" t="str">
        <f t="shared" si="2"/>
        <v>MAR</v>
      </c>
      <c r="E30" s="3" t="s">
        <v>80</v>
      </c>
      <c r="F30" s="3" t="s">
        <v>81</v>
      </c>
      <c r="G30" s="3">
        <v>60</v>
      </c>
      <c r="H30" s="3">
        <v>30</v>
      </c>
      <c r="I30" s="3" t="s">
        <v>13</v>
      </c>
      <c r="J30" s="22" t="str">
        <f t="shared" si="3"/>
        <v>Standard Price</v>
      </c>
    </row>
    <row r="31" spans="1:14" x14ac:dyDescent="0.2">
      <c r="A31" s="4" t="s">
        <v>82</v>
      </c>
      <c r="B31" s="4" t="str">
        <f t="shared" si="0"/>
        <v>13</v>
      </c>
      <c r="C31" s="4" t="str">
        <f t="shared" si="1"/>
        <v>CA</v>
      </c>
      <c r="D31" s="4" t="str">
        <f t="shared" si="2"/>
        <v>APR</v>
      </c>
      <c r="E31" s="4" t="s">
        <v>83</v>
      </c>
      <c r="F31" s="4" t="s">
        <v>84</v>
      </c>
      <c r="G31" s="4">
        <v>40</v>
      </c>
      <c r="H31" s="4">
        <v>10</v>
      </c>
      <c r="I31" s="4" t="s">
        <v>17</v>
      </c>
      <c r="J31" s="22" t="str">
        <f t="shared" si="3"/>
        <v>Standard Price</v>
      </c>
    </row>
    <row r="32" spans="1:14" x14ac:dyDescent="0.2">
      <c r="A32" s="3" t="s">
        <v>85</v>
      </c>
      <c r="B32" s="3" t="str">
        <f t="shared" si="0"/>
        <v>24</v>
      </c>
      <c r="C32" s="3" t="str">
        <f t="shared" si="1"/>
        <v>CA</v>
      </c>
      <c r="D32" s="3" t="str">
        <f t="shared" si="2"/>
        <v>MAY</v>
      </c>
      <c r="E32" s="3" t="s">
        <v>71</v>
      </c>
      <c r="F32" s="3" t="s">
        <v>86</v>
      </c>
      <c r="G32" s="3">
        <v>130</v>
      </c>
      <c r="H32" s="3">
        <v>5</v>
      </c>
      <c r="I32" s="3" t="s">
        <v>9</v>
      </c>
      <c r="J32" s="22" t="str">
        <f t="shared" si="3"/>
        <v>Standard Price</v>
      </c>
    </row>
    <row r="33" spans="1:10" x14ac:dyDescent="0.2">
      <c r="A33" s="4" t="s">
        <v>87</v>
      </c>
      <c r="B33" s="4" t="str">
        <f t="shared" si="0"/>
        <v>02</v>
      </c>
      <c r="C33" s="4" t="str">
        <f t="shared" si="1"/>
        <v>CA</v>
      </c>
      <c r="D33" s="4" t="str">
        <f t="shared" si="2"/>
        <v>DEC</v>
      </c>
      <c r="E33" s="4" t="s">
        <v>88</v>
      </c>
      <c r="F33" s="4" t="s">
        <v>89</v>
      </c>
      <c r="G33" s="4">
        <v>50</v>
      </c>
      <c r="H33" s="4">
        <v>50</v>
      </c>
      <c r="I33" s="4" t="s">
        <v>13</v>
      </c>
      <c r="J33" s="22" t="str">
        <f t="shared" si="3"/>
        <v>Standard Price</v>
      </c>
    </row>
    <row r="34" spans="1:10" x14ac:dyDescent="0.2">
      <c r="A34" s="3" t="s">
        <v>40</v>
      </c>
      <c r="B34" s="3" t="str">
        <f t="shared" si="0"/>
        <v>17</v>
      </c>
      <c r="C34" s="3" t="str">
        <f t="shared" si="1"/>
        <v>IN</v>
      </c>
      <c r="D34" s="3" t="str">
        <f t="shared" si="2"/>
        <v>JUN</v>
      </c>
      <c r="E34" s="3" t="s">
        <v>7</v>
      </c>
      <c r="F34" s="3" t="s">
        <v>41</v>
      </c>
      <c r="G34" s="3">
        <v>950</v>
      </c>
      <c r="H34" s="3">
        <v>25</v>
      </c>
      <c r="I34" s="3" t="s">
        <v>9</v>
      </c>
      <c r="J34" s="22" t="str">
        <f t="shared" si="3"/>
        <v>High Price</v>
      </c>
    </row>
    <row r="35" spans="1:10" x14ac:dyDescent="0.2">
      <c r="A35" s="4" t="s">
        <v>90</v>
      </c>
      <c r="B35" s="4" t="str">
        <f t="shared" si="0"/>
        <v>09</v>
      </c>
      <c r="C35" s="4" t="str">
        <f t="shared" si="1"/>
        <v>FR</v>
      </c>
      <c r="D35" s="4" t="str">
        <f t="shared" si="2"/>
        <v>JUL</v>
      </c>
      <c r="E35" s="4" t="s">
        <v>91</v>
      </c>
      <c r="F35" s="4" t="s">
        <v>92</v>
      </c>
      <c r="G35" s="4">
        <v>100</v>
      </c>
      <c r="H35" s="4">
        <v>20</v>
      </c>
      <c r="I35" s="4" t="s">
        <v>53</v>
      </c>
      <c r="J35" s="22" t="str">
        <f t="shared" si="3"/>
        <v>Standard Price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mkjagan jagadesh</cp:lastModifiedBy>
  <dcterms:modified xsi:type="dcterms:W3CDTF">2026-05-22T18:27:03Z</dcterms:modified>
</cp:coreProperties>
</file>